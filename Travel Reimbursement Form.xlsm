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media/image2.png" ContentType="image/png"/>
  <Override PartName="/xl/media/image1.png" ContentType="image/png"/>
  <Override PartName="/xl/vbaProject.bin" ContentType="application/vnd.ms-office.vbaProject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ravel Reimbursement Form" sheetId="1" state="visible" r:id="rId3"/>
  </sheets>
  <definedNames>
    <definedName function="false" hidden="true" localSheetId="0" name="_xlnm._FilterDatabase" vbProcedure="false">'Travel Reimbursement Form'!$N$5:$Q$18</definedName>
    <definedName function="false" hidden="false" name="conv_Metro_withbill1_3" vbProcedure="false">'travel reimbursement form'!#ref!</definedName>
    <definedName function="false" hidden="false" name="conv_Metro_withbill4_6" vbProcedure="false">'travel reimbursement form'!#ref!</definedName>
    <definedName function="false" hidden="false" name="conv_Metro_withbill7_9" vbProcedure="false">'travel reimbursement form'!#ref!</definedName>
    <definedName function="false" hidden="false" name="conv_NonMetro_withoutbill1_3" vbProcedure="false">'travel reimbursement form'!#ref!</definedName>
    <definedName function="false" hidden="false" name="conv_NonMetro_withoutbill4_6" vbProcedure="false">'travel reimbursement form'!#ref!</definedName>
    <definedName function="false" hidden="false" name="conv_NonMetro_withoutbill7_9" vbProcedure="false">'travel reimbursement form'!#ref!</definedName>
    <definedName function="false" hidden="false" name="conv_withoutbill1_3" vbProcedure="false">'travel reimbursement form'!#ref!</definedName>
    <definedName function="false" hidden="false" name="conv_withoutbill4_6" vbProcedure="false">'travel reimbursement form'!#ref!</definedName>
    <definedName function="false" hidden="false" name="conv_withoutbill7_9" vbProcedure="false">'travel reimbursement form'!#ref!</definedName>
    <definedName function="false" hidden="false" name="Food_withbill1_3" vbProcedure="false">'travel reimbursement form'!#ref!</definedName>
    <definedName function="false" hidden="false" name="Food_withbill4_6" vbProcedure="false">'travel reimbursement form'!#ref!</definedName>
    <definedName function="false" hidden="false" name="Food_withbill7_9" vbProcedure="false">'travel reimbursement form'!#ref!</definedName>
    <definedName function="false" hidden="false" name="Food_withoutbill1_3" vbProcedure="false">'travel reimbursement form'!#ref!</definedName>
    <definedName function="false" hidden="false" name="Food_withoutbill4_6" vbProcedure="false">'travel reimbursement form'!#ref!</definedName>
    <definedName function="false" hidden="false" name="Food_withoutbill7_9" vbProcedure="false">'travel reimbursement form'!#ref!</definedName>
    <definedName function="false" hidden="false" name="Grade" vbProcedure="false">'travel reimbursement form'!#ref!</definedName>
    <definedName function="false" hidden="false" name="Hotel_Metro_withbill1_3" vbProcedure="false">'travel reimbursement form'!#ref!</definedName>
    <definedName function="false" hidden="false" name="Hotel_Metro_withbill4_6" vbProcedure="false">'travel reimbursement form'!#ref!</definedName>
    <definedName function="false" hidden="false" name="Hotel_Metro_withbill7_9" vbProcedure="false">'travel reimbursement form'!#ref!</definedName>
    <definedName function="false" hidden="false" name="Hotel_Non_Metro_withbill1_3" vbProcedure="false">'travel reimbursement form'!#ref!</definedName>
    <definedName function="false" hidden="false" name="Hotel_Non_Metro_withbill4_6" vbProcedure="false">'travel reimbursement form'!#ref!</definedName>
    <definedName function="false" hidden="false" name="Hotel_Non_Metro_withbill7_9" vbProcedure="false">'travel reimbursement form'!#ref!</definedName>
    <definedName function="false" hidden="false" name="MG1_MG3" vbProcedure="false">'travel reimbursement form'!#ref!</definedName>
    <definedName function="false" hidden="false" name="MG4_MG6" vbProcedure="false">'travel reimbursement form'!#ref!</definedName>
    <definedName function="false" hidden="false" name="MG7_MG9" vbProcedure="false">'travel reimbursement form'!#ref!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<sst xmlns="http://schemas.openxmlformats.org/spreadsheetml/2006/main" count="143" uniqueCount="121">
  <si>
    <t xml:space="preserve">Tier 1</t>
  </si>
  <si>
    <t xml:space="preserve">Tier 2</t>
  </si>
  <si>
    <t xml:space="preserve">Exp.</t>
  </si>
  <si>
    <t xml:space="preserve">MG1-MG3</t>
  </si>
  <si>
    <t xml:space="preserve">MG4-MG6</t>
  </si>
  <si>
    <t xml:space="preserve">MG7-MG9</t>
  </si>
  <si>
    <t xml:space="preserve">One97 Communications Limited</t>
  </si>
  <si>
    <t xml:space="preserve">Delhi NCR</t>
  </si>
  <si>
    <t xml:space="preserve">Chandigarh</t>
  </si>
  <si>
    <t xml:space="preserve">HTA with Bill</t>
  </si>
  <si>
    <t xml:space="preserve">On Actual</t>
  </si>
  <si>
    <t xml:space="preserve">Mumbai</t>
  </si>
  <si>
    <t xml:space="preserve">Indore</t>
  </si>
  <si>
    <t xml:space="preserve">HTA without Bill</t>
  </si>
  <si>
    <t xml:space="preserve">Chennai</t>
  </si>
  <si>
    <t xml:space="preserve">Bhopal</t>
  </si>
  <si>
    <t xml:space="preserve">Conv Tier 1 City with Bill</t>
  </si>
  <si>
    <t xml:space="preserve">Travel Expense Reimbursement form</t>
  </si>
  <si>
    <t xml:space="preserve">Kolkata</t>
  </si>
  <si>
    <t xml:space="preserve">Nagpur</t>
  </si>
  <si>
    <t xml:space="preserve">Conv Tier 1 City without Bill</t>
  </si>
  <si>
    <t xml:space="preserve">Bangalore</t>
  </si>
  <si>
    <t xml:space="preserve">Bhubaneswar</t>
  </si>
  <si>
    <t xml:space="preserve">Conv Tier 2 City with Bill</t>
  </si>
  <si>
    <t xml:space="preserve">Name:</t>
  </si>
  <si>
    <t xml:space="preserve">AMANJOT SINGH</t>
  </si>
  <si>
    <t xml:space="preserve">Hyderabad</t>
  </si>
  <si>
    <t xml:space="preserve">Vishakhapatnam</t>
  </si>
  <si>
    <t xml:space="preserve">Conv Tier 2 City without Bill</t>
  </si>
  <si>
    <t xml:space="preserve">Department:</t>
  </si>
  <si>
    <t xml:space="preserve">SELLER TEAM – POS TEAM</t>
  </si>
  <si>
    <t xml:space="preserve">Pune</t>
  </si>
  <si>
    <t xml:space="preserve">Cochin</t>
  </si>
  <si>
    <t xml:space="preserve">Conv Tier 3 City with Bill</t>
  </si>
  <si>
    <t xml:space="preserve">Grade:</t>
  </si>
  <si>
    <t xml:space="preserve">MG1</t>
  </si>
  <si>
    <t xml:space="preserve">Ahmedabad</t>
  </si>
  <si>
    <t xml:space="preserve">Coimbatore</t>
  </si>
  <si>
    <t xml:space="preserve">Conv Tier 3 City without Bill</t>
  </si>
  <si>
    <t xml:space="preserve">Employee Code</t>
  </si>
  <si>
    <t xml:space="preserve">Jaipur</t>
  </si>
  <si>
    <t xml:space="preserve">Vadodara</t>
  </si>
  <si>
    <t xml:space="preserve">Hotel Tier 1 City with Bill</t>
  </si>
  <si>
    <t xml:space="preserve">Surat</t>
  </si>
  <si>
    <t xml:space="preserve">Amritsar</t>
  </si>
  <si>
    <t xml:space="preserve">Hotel Tier 2 City with Bill</t>
  </si>
  <si>
    <t xml:space="preserve">Purpose of Visit</t>
  </si>
  <si>
    <t xml:space="preserve">Full Time Joining</t>
  </si>
  <si>
    <t xml:space="preserve">Lucknow</t>
  </si>
  <si>
    <t xml:space="preserve">Kota</t>
  </si>
  <si>
    <t xml:space="preserve">Hotel Tier 3 City with Bill</t>
  </si>
  <si>
    <t xml:space="preserve">Places of  Visit</t>
  </si>
  <si>
    <t xml:space="preserve">Noida</t>
  </si>
  <si>
    <t xml:space="preserve">kanpur</t>
  </si>
  <si>
    <t xml:space="preserve">Food with Bill</t>
  </si>
  <si>
    <t xml:space="preserve">From</t>
  </si>
  <si>
    <t xml:space="preserve">Jabalpur</t>
  </si>
  <si>
    <t xml:space="preserve">Food without Bill</t>
  </si>
  <si>
    <t xml:space="preserve">To</t>
  </si>
  <si>
    <t xml:space="preserve">Days</t>
  </si>
  <si>
    <t xml:space="preserve">Accompanied with</t>
  </si>
  <si>
    <t xml:space="preserve">Claim Type</t>
  </si>
  <si>
    <t xml:space="preserve">MG2</t>
  </si>
  <si>
    <t xml:space="preserve">Relocation Expense Reimbursement form</t>
  </si>
  <si>
    <t xml:space="preserve">MG3</t>
  </si>
  <si>
    <t xml:space="preserve">Joining Expense Reimbursement form</t>
  </si>
  <si>
    <t xml:space="preserve">S.No.</t>
  </si>
  <si>
    <t xml:space="preserve">Particulars</t>
  </si>
  <si>
    <t xml:space="preserve">Expense</t>
  </si>
  <si>
    <t xml:space="preserve">Grade</t>
  </si>
  <si>
    <t xml:space="preserve">Entitlement as per policy</t>
  </si>
  <si>
    <t xml:space="preserve">Total Claim Amount</t>
  </si>
  <si>
    <t xml:space="preserve">Excess then entitlement</t>
  </si>
  <si>
    <t xml:space="preserve">MG4</t>
  </si>
  <si>
    <t xml:space="preserve">Select Claim Type</t>
  </si>
  <si>
    <t xml:space="preserve">A</t>
  </si>
  <si>
    <t xml:space="preserve">Tickets</t>
  </si>
  <si>
    <t xml:space="preserve">MG5</t>
  </si>
  <si>
    <t xml:space="preserve">_ Onward Journey</t>
  </si>
  <si>
    <t xml:space="preserve">MG6</t>
  </si>
  <si>
    <t xml:space="preserve">_ Return Journey</t>
  </si>
  <si>
    <t xml:space="preserve">MG7</t>
  </si>
  <si>
    <t xml:space="preserve">(Kindly enclose the tickets &amp; Boarding Passess for air travel or Train Ticket whether booked by self or company)</t>
  </si>
  <si>
    <t xml:space="preserve">MG8</t>
  </si>
  <si>
    <t xml:space="preserve">MG9</t>
  </si>
  <si>
    <t xml:space="preserve">B </t>
  </si>
  <si>
    <t xml:space="preserve">Local Conveyance</t>
  </si>
  <si>
    <t xml:space="preserve">_ From Home to Railway Station/ Airport</t>
  </si>
  <si>
    <t xml:space="preserve">_ From Railway Station/ Airport to Home</t>
  </si>
  <si>
    <t xml:space="preserve">(Kindly enclose the original bills to claim the reimbursement)</t>
  </si>
  <si>
    <t xml:space="preserve">C</t>
  </si>
  <si>
    <t xml:space="preserve">Lodging/ Hotel Accomodation </t>
  </si>
  <si>
    <t xml:space="preserve">Date of Check In</t>
  </si>
  <si>
    <t xml:space="preserve">Date of Check Out</t>
  </si>
  <si>
    <t xml:space="preserve">D</t>
  </si>
  <si>
    <t xml:space="preserve">Boarding/ Food Expenses</t>
  </si>
  <si>
    <t xml:space="preserve">(Kindly enclose the Summary alongwith original bills)</t>
  </si>
  <si>
    <t xml:space="preserve">E</t>
  </si>
  <si>
    <t xml:space="preserve">Local Travel (at destination)</t>
  </si>
  <si>
    <t xml:space="preserve">F</t>
  </si>
  <si>
    <t xml:space="preserve">Client Entertainment</t>
  </si>
  <si>
    <t xml:space="preserve">Total  (A)</t>
  </si>
  <si>
    <t xml:space="preserve">Less :</t>
  </si>
  <si>
    <t xml:space="preserve">1</t>
  </si>
  <si>
    <t xml:space="preserve">Expenses incurred by One97 (Tickets, etc.)</t>
  </si>
  <si>
    <t xml:space="preserve">2</t>
  </si>
  <si>
    <t xml:space="preserve">Advance taken</t>
  </si>
  <si>
    <t xml:space="preserve">Document No:-</t>
  </si>
  <si>
    <t xml:space="preserve">Total  (B)</t>
  </si>
  <si>
    <t xml:space="preserve">Balance Claimable / Refundable  (A_B)</t>
  </si>
  <si>
    <t xml:space="preserve">Note _ The reimbursement can be claimed only on the basis of actuals &amp; submissions of the original bills/ supportings</t>
  </si>
  <si>
    <t xml:space="preserve">Reporting manager/Head of Department approves to start the payment process. Finance will review and negotiate to approve after seeing the policy variance.</t>
  </si>
  <si>
    <t xml:space="preserve">Date:</t>
  </si>
  <si>
    <t xml:space="preserve">Signature of claimant</t>
  </si>
  <si>
    <t xml:space="preserve">___________________</t>
  </si>
  <si>
    <t xml:space="preserve">Signature of Reporting Manager</t>
  </si>
  <si>
    <t xml:space="preserve">Signature of Head of Department</t>
  </si>
  <si>
    <t xml:space="preserve">All fields are mandatory</t>
  </si>
  <si>
    <r>
      <rPr>
        <b val="true"/>
        <sz val="10"/>
        <color rgb="FF000000"/>
        <rFont val="Open Sans"/>
        <family val="2"/>
        <charset val="1"/>
      </rPr>
      <t xml:space="preserve">Tier 1:</t>
    </r>
    <r>
      <rPr>
        <sz val="10"/>
        <color rgb="FF000000"/>
        <rFont val="Open Sans"/>
        <family val="2"/>
        <charset val="1"/>
      </rPr>
      <t xml:space="preserve"> Delhi NCR, Mumbai, Chennai, Kolkata, Bangalore, Hyderabad, Pune, Ahmedabad, Jaipur, Surat, Lucknow, Kanpur &amp; Jabalpur</t>
    </r>
  </si>
  <si>
    <r>
      <rPr>
        <b val="true"/>
        <sz val="10"/>
        <color rgb="FF000000"/>
        <rFont val="Open Sans"/>
        <family val="2"/>
        <charset val="1"/>
      </rPr>
      <t xml:space="preserve">Tier 2: </t>
    </r>
    <r>
      <rPr>
        <sz val="10"/>
        <color rgb="FF000000"/>
        <rFont val="Open Sans"/>
        <family val="2"/>
        <charset val="1"/>
      </rPr>
      <t xml:space="preserve">Chandigarh, Indore, Bhopal, Nagpur, Bhubaneswar, Vishakhapatnam, Cochin, Coimbatore, Vadodara, Amritsar &amp; Kota</t>
    </r>
  </si>
  <si>
    <r>
      <rPr>
        <b val="true"/>
        <sz val="10"/>
        <color rgb="FF000000"/>
        <rFont val="Open Sans"/>
        <family val="2"/>
        <charset val="1"/>
      </rPr>
      <t xml:space="preserve">Tier 3:</t>
    </r>
    <r>
      <rPr>
        <sz val="10"/>
        <color rgb="FF000000"/>
        <rFont val="Open Sans"/>
        <family val="2"/>
        <charset val="1"/>
      </rPr>
      <t xml:space="preserve"> All others cities.</t>
    </r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</si>
</sst>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\ MMM\ YY"/>
    <numFmt numFmtId="166" formatCode="_(* #,##0.00_);_(* \(#,##0.00\);_(* \-??_);_(@_)"/>
    <numFmt numFmtId="167" formatCode="@"/>
  </numFmts>
  <fonts count="11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i val="true"/>
      <sz val="10"/>
      <name val="Arial"/>
      <family val="2"/>
      <charset val="1"/>
    </font>
    <font>
      <b val="true"/>
      <sz val="10"/>
      <color rgb="FF000000"/>
      <name val="Open Sans"/>
      <family val="2"/>
      <charset val="1"/>
    </font>
    <font>
      <sz val="10"/>
      <color rgb="FF000000"/>
      <name val="Open Sans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0C0C0"/>
        <bgColor rgb="FFBFBFBF"/>
      </patternFill>
    </fill>
    <fill>
      <patternFill patternType="solid">
        <fgColor rgb="FFBFBFBF"/>
        <bgColor rgb="FFC0C0C0"/>
      </patternFill>
    </fill>
  </fills>
  <borders count="21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 style="medium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5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7" fillId="0" borderId="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5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5" fillId="2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9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0" xfId="2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0" borderId="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5" fillId="0" borderId="1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9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5" fontId="7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5" fillId="0" borderId="10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7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0" borderId="9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6" xfId="0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1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5" fillId="0" borderId="1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1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6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3" borderId="10" xfId="0" applyFont="true" applyBorder="true" applyAlignment="true" applyProtection="false">
      <alignment horizontal="right" vertical="bottom" textRotation="0" wrapText="true" indent="0" shrinkToFit="false"/>
      <protection locked="true" hidden="false"/>
    </xf>
    <xf numFmtId="164" fontId="5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3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14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4" fillId="0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3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5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5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14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0" fillId="0" borderId="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6" xfId="0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0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0" borderId="6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6" xfId="0" applyFont="fals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5" fillId="0" borderId="1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5" fillId="0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0" borderId="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14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4" fillId="0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12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5" fillId="0" borderId="13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5" fillId="0" borderId="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10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5" fillId="0" borderId="10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5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9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4" fillId="0" borderId="12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4" fillId="0" borderId="13" xfId="15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4" fillId="0" borderId="15" xfId="15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10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4" fillId="0" borderId="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0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7" fontId="4" fillId="0" borderId="9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4" fillId="0" borderId="6" xfId="15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7" fontId="4" fillId="0" borderId="12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3" borderId="1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3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3" borderId="10" xfId="0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5" fillId="3" borderId="10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5" fillId="0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7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4" fillId="0" borderId="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9" fillId="0" borderId="19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9" fillId="0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9" fillId="0" borderId="20" xfId="0" applyFont="true" applyBorder="true" applyAlignment="true" applyProtection="false">
      <alignment horizontal="left" vertical="center" textRotation="0" wrapText="tru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Normal 2" xfId="20" builtinId="53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FBFB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202320</xdr:colOff>
      <xdr:row>2</xdr:row>
      <xdr:rowOff>0</xdr:rowOff>
    </xdr:from>
    <xdr:to>
      <xdr:col>2</xdr:col>
      <xdr:colOff>149400</xdr:colOff>
      <xdr:row>4</xdr:row>
      <xdr:rowOff>75960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1209960" y="323640"/>
          <a:ext cx="1478520" cy="3999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7</xdr:col>
      <xdr:colOff>473400</xdr:colOff>
      <xdr:row>4</xdr:row>
      <xdr:rowOff>66240</xdr:rowOff>
    </xdr:to>
    <xdr:pic>
      <xdr:nvPicPr>
        <xdr:cNvPr id="1" name="Picture 1" descr=""/>
        <xdr:cNvPicPr/>
      </xdr:nvPicPr>
      <xdr:blipFill>
        <a:blip r:embed="rId2"/>
        <a:stretch/>
      </xdr:blipFill>
      <xdr:spPr>
        <a:xfrm>
          <a:off x="9493560" y="323640"/>
          <a:ext cx="1340280" cy="39024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B1:Q78"/>
  <sheetViews>
    <sheetView showFormulas="false" showGridLines="false" showRowColHeaders="true" showZeros="true" rightToLeft="false" tabSelected="true" showOutlineSymbols="true" defaultGridColor="true" view="normal" topLeftCell="A1" colorId="64" zoomScale="80" zoomScaleNormal="80" zoomScalePageLayoutView="100" workbookViewId="0">
      <selection pane="topLeft" activeCell="Z30" activeCellId="0" sqref="Z30"/>
    </sheetView>
  </sheetViews>
  <sheetFormatPr defaultRowHeight="12.75" zeroHeight="false" outlineLevelRow="0" outlineLevelCol="0"/>
  <cols>
    <col collapsed="false" customWidth="true" hidden="false" outlineLevel="0" max="1" min="1" style="1" width="14.28"/>
    <col collapsed="false" customWidth="true" hidden="false" outlineLevel="0" max="2" min="2" style="2" width="21.71"/>
    <col collapsed="false" customWidth="true" hidden="false" outlineLevel="0" max="3" min="3" style="2" width="29.86"/>
    <col collapsed="false" customWidth="true" hidden="false" outlineLevel="0" max="4" min="4" style="2" width="31.7"/>
    <col collapsed="false" customWidth="true" hidden="false" outlineLevel="0" max="5" min="5" style="2" width="24.71"/>
    <col collapsed="false" customWidth="true" hidden="false" outlineLevel="0" max="7" min="6" style="2" width="12.29"/>
    <col collapsed="false" customWidth="true" hidden="false" outlineLevel="0" max="8" min="8" style="3" width="22.01"/>
    <col collapsed="false" customWidth="true" hidden="true" outlineLevel="0" max="9" min="9" style="2" width="13.14"/>
    <col collapsed="false" customWidth="true" hidden="true" outlineLevel="0" max="10" min="10" style="2" width="13.57"/>
    <col collapsed="false" customWidth="false" hidden="true" outlineLevel="0" max="11" min="11" style="2" width="11.57"/>
    <col collapsed="false" customWidth="true" hidden="true" outlineLevel="0" max="12" min="12" style="2" width="15.71"/>
    <col collapsed="false" customWidth="true" hidden="true" outlineLevel="0" max="13" min="13" style="2" width="8.14"/>
    <col collapsed="false" customWidth="true" hidden="true" outlineLevel="0" max="14" min="14" style="2" width="25.14"/>
    <col collapsed="false" customWidth="true" hidden="true" outlineLevel="0" max="15" min="15" style="2" width="37.42"/>
    <col collapsed="false" customWidth="true" hidden="true" outlineLevel="0" max="17" min="16" style="2" width="13.43"/>
    <col collapsed="false" customWidth="true" hidden="true" outlineLevel="0" max="21" min="18" style="2" width="9.14"/>
    <col collapsed="false" customWidth="true" hidden="true" outlineLevel="0" max="22" min="22" style="4" width="9.14"/>
    <col collapsed="false" customWidth="true" hidden="false" outlineLevel="0" max="1025" min="23" style="2" width="9.14"/>
  </cols>
  <sheetData>
    <row r="1" customFormat="false" ht="12.75" hidden="false" customHeight="false" outlineLevel="0" collapsed="false">
      <c r="B1" s="5"/>
      <c r="C1" s="6"/>
      <c r="D1" s="6"/>
      <c r="E1" s="6"/>
      <c r="F1" s="6"/>
      <c r="G1" s="6"/>
      <c r="H1" s="7"/>
    </row>
    <row r="2" customFormat="false" ht="12.75" hidden="false" customHeight="false" outlineLevel="0" collapsed="false">
      <c r="B2" s="8"/>
      <c r="C2" s="9"/>
      <c r="D2" s="9"/>
      <c r="E2" s="9"/>
      <c r="F2" s="9"/>
      <c r="G2" s="9"/>
      <c r="H2" s="10"/>
    </row>
    <row r="3" customFormat="false" ht="12.75" hidden="false" customHeight="false" outlineLevel="0" collapsed="false">
      <c r="B3" s="8"/>
      <c r="C3" s="9"/>
      <c r="D3" s="9"/>
      <c r="E3" s="9"/>
      <c r="F3" s="9"/>
      <c r="G3" s="9"/>
      <c r="H3" s="10"/>
    </row>
    <row r="4" customFormat="false" ht="12.75" hidden="false" customHeight="false" outlineLevel="0" collapsed="false">
      <c r="B4" s="8"/>
      <c r="C4" s="9"/>
      <c r="D4" s="9"/>
      <c r="E4" s="9"/>
      <c r="F4" s="9"/>
      <c r="G4" s="9"/>
      <c r="H4" s="10"/>
    </row>
    <row r="5" customFormat="false" ht="15.75" hidden="false" customHeight="true" outlineLevel="0" collapsed="false">
      <c r="B5" s="8"/>
      <c r="C5" s="9"/>
      <c r="D5" s="9"/>
      <c r="E5" s="9"/>
      <c r="F5" s="9"/>
      <c r="G5" s="9"/>
      <c r="H5" s="10"/>
      <c r="K5" s="11" t="s">
        <v>0</v>
      </c>
      <c r="L5" s="11" t="s">
        <v>1</v>
      </c>
      <c r="N5" s="12" t="s">
        <v>2</v>
      </c>
      <c r="O5" s="12" t="s">
        <v>3</v>
      </c>
      <c r="P5" s="12" t="s">
        <v>4</v>
      </c>
      <c r="Q5" s="12" t="s">
        <v>5</v>
      </c>
    </row>
    <row r="6" customFormat="false" ht="15" hidden="false" customHeight="false" outlineLevel="0" collapsed="false">
      <c r="B6" s="13" t="s">
        <v>6</v>
      </c>
      <c r="C6" s="13"/>
      <c r="D6" s="13"/>
      <c r="E6" s="13"/>
      <c r="F6" s="13"/>
      <c r="G6" s="13"/>
      <c r="H6" s="13"/>
      <c r="I6" s="14"/>
      <c r="K6" s="2" t="s">
        <v>7</v>
      </c>
      <c r="L6" s="2" t="s">
        <v>8</v>
      </c>
      <c r="N6" s="15" t="s">
        <v>9</v>
      </c>
      <c r="O6" s="16" t="s">
        <v>10</v>
      </c>
      <c r="P6" s="16" t="s">
        <v>10</v>
      </c>
      <c r="Q6" s="16" t="s">
        <v>10</v>
      </c>
    </row>
    <row r="7" customFormat="false" ht="13.5" hidden="false" customHeight="true" outlineLevel="0" collapsed="false">
      <c r="B7" s="17"/>
      <c r="C7" s="17"/>
      <c r="D7" s="17"/>
      <c r="E7" s="17"/>
      <c r="F7" s="17"/>
      <c r="G7" s="17"/>
      <c r="H7" s="17"/>
      <c r="K7" s="2" t="s">
        <v>11</v>
      </c>
      <c r="L7" s="2" t="s">
        <v>12</v>
      </c>
      <c r="N7" s="15" t="s">
        <v>13</v>
      </c>
      <c r="O7" s="15"/>
      <c r="P7" s="15"/>
      <c r="Q7" s="15"/>
    </row>
    <row r="8" customFormat="false" ht="15.75" hidden="false" customHeight="false" outlineLevel="0" collapsed="false">
      <c r="B8" s="18"/>
      <c r="C8" s="19"/>
      <c r="D8" s="19"/>
      <c r="E8" s="19"/>
      <c r="F8" s="19"/>
      <c r="G8" s="19"/>
      <c r="H8" s="10"/>
      <c r="K8" s="2" t="s">
        <v>14</v>
      </c>
      <c r="L8" s="2" t="s">
        <v>15</v>
      </c>
      <c r="N8" s="20" t="s">
        <v>16</v>
      </c>
      <c r="O8" s="16" t="n">
        <v>1000</v>
      </c>
      <c r="P8" s="16" t="n">
        <v>1500</v>
      </c>
      <c r="Q8" s="16" t="n">
        <v>1500</v>
      </c>
    </row>
    <row r="9" customFormat="false" ht="12.75" hidden="false" customHeight="false" outlineLevel="0" collapsed="false">
      <c r="B9" s="21" t="s">
        <v>17</v>
      </c>
      <c r="C9" s="21"/>
      <c r="D9" s="21"/>
      <c r="E9" s="21"/>
      <c r="F9" s="21"/>
      <c r="G9" s="21"/>
      <c r="H9" s="21"/>
      <c r="K9" s="22" t="s">
        <v>18</v>
      </c>
      <c r="L9" s="2" t="s">
        <v>19</v>
      </c>
      <c r="N9" s="20" t="s">
        <v>20</v>
      </c>
      <c r="O9" s="15"/>
      <c r="P9" s="15"/>
      <c r="Q9" s="15"/>
    </row>
    <row r="10" customFormat="false" ht="13.5" hidden="false" customHeight="true" outlineLevel="0" collapsed="false">
      <c r="B10" s="23"/>
      <c r="C10" s="24"/>
      <c r="D10" s="24"/>
      <c r="E10" s="24"/>
      <c r="F10" s="24"/>
      <c r="G10" s="24"/>
      <c r="H10" s="24"/>
      <c r="K10" s="22" t="s">
        <v>21</v>
      </c>
      <c r="L10" s="2" t="s">
        <v>22</v>
      </c>
      <c r="N10" s="20" t="s">
        <v>23</v>
      </c>
      <c r="O10" s="15" t="n">
        <v>750</v>
      </c>
      <c r="P10" s="15" t="n">
        <v>1000</v>
      </c>
      <c r="Q10" s="15" t="n">
        <v>1000</v>
      </c>
    </row>
    <row r="11" customFormat="false" ht="12.75" hidden="false" customHeight="true" outlineLevel="0" collapsed="false">
      <c r="B11" s="25" t="s">
        <v>24</v>
      </c>
      <c r="C11" s="26" t="s">
        <v>25</v>
      </c>
      <c r="D11" s="26"/>
      <c r="E11" s="26"/>
      <c r="F11" s="26"/>
      <c r="G11" s="26"/>
      <c r="H11" s="26"/>
      <c r="K11" s="22" t="s">
        <v>26</v>
      </c>
      <c r="L11" s="2" t="s">
        <v>27</v>
      </c>
      <c r="N11" s="20" t="s">
        <v>28</v>
      </c>
      <c r="O11" s="15"/>
      <c r="P11" s="15"/>
      <c r="Q11" s="15"/>
    </row>
    <row r="12" customFormat="false" ht="12.75" hidden="false" customHeight="false" outlineLevel="0" collapsed="false">
      <c r="B12" s="25" t="s">
        <v>29</v>
      </c>
      <c r="C12" s="26" t="s">
        <v>30</v>
      </c>
      <c r="D12" s="26"/>
      <c r="E12" s="26"/>
      <c r="F12" s="26"/>
      <c r="G12" s="26"/>
      <c r="H12" s="26"/>
      <c r="K12" s="22" t="s">
        <v>31</v>
      </c>
      <c r="L12" s="2" t="s">
        <v>32</v>
      </c>
      <c r="N12" s="20" t="s">
        <v>33</v>
      </c>
      <c r="O12" s="15" t="n">
        <v>750</v>
      </c>
      <c r="P12" s="15" t="n">
        <v>1000</v>
      </c>
      <c r="Q12" s="15" t="n">
        <v>1000</v>
      </c>
    </row>
    <row r="13" customFormat="false" ht="12.75" hidden="false" customHeight="false" outlineLevel="0" collapsed="false">
      <c r="B13" s="25" t="s">
        <v>34</v>
      </c>
      <c r="C13" s="26" t="s">
        <v>35</v>
      </c>
      <c r="D13" s="26"/>
      <c r="E13" s="26"/>
      <c r="F13" s="26"/>
      <c r="G13" s="26"/>
      <c r="H13" s="26"/>
      <c r="K13" s="22" t="s">
        <v>36</v>
      </c>
      <c r="L13" s="2" t="s">
        <v>37</v>
      </c>
      <c r="N13" s="20" t="s">
        <v>38</v>
      </c>
      <c r="O13" s="15"/>
      <c r="P13" s="15"/>
      <c r="Q13" s="15"/>
    </row>
    <row r="14" customFormat="false" ht="15" hidden="false" customHeight="false" outlineLevel="0" collapsed="false">
      <c r="B14" s="25" t="s">
        <v>39</v>
      </c>
      <c r="C14" s="26" t="n">
        <v>5002270</v>
      </c>
      <c r="D14" s="26"/>
      <c r="E14" s="26"/>
      <c r="F14" s="26"/>
      <c r="G14" s="26"/>
      <c r="H14" s="26"/>
      <c r="K14" s="22" t="s">
        <v>40</v>
      </c>
      <c r="L14" s="2" t="s">
        <v>41</v>
      </c>
      <c r="N14" s="27" t="s">
        <v>42</v>
      </c>
      <c r="O14" s="16" t="n">
        <v>2000</v>
      </c>
      <c r="P14" s="16" t="n">
        <v>3000</v>
      </c>
      <c r="Q14" s="16" t="n">
        <v>6000</v>
      </c>
    </row>
    <row r="15" customFormat="false" ht="15" hidden="false" customHeight="false" outlineLevel="0" collapsed="false">
      <c r="B15" s="28"/>
      <c r="C15" s="28"/>
      <c r="D15" s="28"/>
      <c r="E15" s="28"/>
      <c r="F15" s="28"/>
      <c r="G15" s="28"/>
      <c r="H15" s="28"/>
      <c r="K15" s="22" t="s">
        <v>43</v>
      </c>
      <c r="L15" s="2" t="s">
        <v>44</v>
      </c>
      <c r="N15" s="27" t="s">
        <v>45</v>
      </c>
      <c r="O15" s="16" t="n">
        <v>1500</v>
      </c>
      <c r="P15" s="16" t="n">
        <v>2500</v>
      </c>
      <c r="Q15" s="16" t="n">
        <v>3000</v>
      </c>
    </row>
    <row r="16" customFormat="false" ht="15" hidden="false" customHeight="false" outlineLevel="0" collapsed="false">
      <c r="B16" s="29" t="s">
        <v>46</v>
      </c>
      <c r="C16" s="26" t="s">
        <v>47</v>
      </c>
      <c r="D16" s="26"/>
      <c r="E16" s="26"/>
      <c r="F16" s="26"/>
      <c r="G16" s="26"/>
      <c r="H16" s="26"/>
      <c r="K16" s="22" t="s">
        <v>48</v>
      </c>
      <c r="L16" s="2" t="s">
        <v>49</v>
      </c>
      <c r="N16" s="27" t="s">
        <v>50</v>
      </c>
      <c r="O16" s="16" t="n">
        <v>1000</v>
      </c>
      <c r="P16" s="16" t="n">
        <v>2000</v>
      </c>
      <c r="Q16" s="16" t="n">
        <v>2500</v>
      </c>
    </row>
    <row r="17" customFormat="false" ht="15" hidden="false" customHeight="false" outlineLevel="0" collapsed="false">
      <c r="B17" s="30" t="s">
        <v>51</v>
      </c>
      <c r="C17" s="26" t="s">
        <v>52</v>
      </c>
      <c r="D17" s="26"/>
      <c r="E17" s="26"/>
      <c r="F17" s="26"/>
      <c r="G17" s="26"/>
      <c r="H17" s="26"/>
      <c r="K17" s="22" t="s">
        <v>53</v>
      </c>
      <c r="L17" s="11"/>
      <c r="N17" s="31" t="s">
        <v>54</v>
      </c>
      <c r="O17" s="16" t="n">
        <v>750</v>
      </c>
      <c r="P17" s="16" t="n">
        <v>1000</v>
      </c>
      <c r="Q17" s="16" t="n">
        <v>1500</v>
      </c>
    </row>
    <row r="18" customFormat="false" ht="15" hidden="false" customHeight="false" outlineLevel="0" collapsed="false">
      <c r="B18" s="30" t="s">
        <v>55</v>
      </c>
      <c r="C18" s="32" t="n">
        <v>42826</v>
      </c>
      <c r="D18" s="32"/>
      <c r="E18" s="33"/>
      <c r="F18" s="33"/>
      <c r="G18" s="33"/>
      <c r="H18" s="33"/>
      <c r="K18" s="22" t="s">
        <v>56</v>
      </c>
      <c r="L18" s="11"/>
      <c r="N18" s="31" t="s">
        <v>57</v>
      </c>
      <c r="O18" s="15"/>
      <c r="P18" s="15"/>
      <c r="Q18" s="15"/>
    </row>
    <row r="19" customFormat="false" ht="15" hidden="false" customHeight="false" outlineLevel="0" collapsed="false">
      <c r="B19" s="30" t="s">
        <v>58</v>
      </c>
      <c r="C19" s="32" t="n">
        <v>42832</v>
      </c>
      <c r="D19" s="32"/>
      <c r="E19" s="33"/>
      <c r="F19" s="33"/>
      <c r="G19" s="33"/>
      <c r="H19" s="33"/>
    </row>
    <row r="20" customFormat="false" ht="15" hidden="false" customHeight="false" outlineLevel="0" collapsed="false">
      <c r="B20" s="30" t="s">
        <v>59</v>
      </c>
      <c r="C20" s="34" t="n">
        <f aca="false">C19-C18+1</f>
        <v>7</v>
      </c>
      <c r="D20" s="34"/>
      <c r="E20" s="33"/>
      <c r="F20" s="33"/>
      <c r="G20" s="33"/>
      <c r="H20" s="33"/>
    </row>
    <row r="21" customFormat="false" ht="12.75" hidden="false" customHeight="false" outlineLevel="0" collapsed="false">
      <c r="B21" s="35" t="s">
        <v>60</v>
      </c>
      <c r="C21" s="26"/>
      <c r="D21" s="26"/>
      <c r="E21" s="26"/>
      <c r="F21" s="26"/>
      <c r="G21" s="26"/>
      <c r="H21" s="26"/>
    </row>
    <row r="22" customFormat="false" ht="15" hidden="false" customHeight="false" outlineLevel="0" collapsed="false">
      <c r="B22" s="36"/>
      <c r="C22" s="36"/>
      <c r="D22" s="36"/>
      <c r="E22" s="36"/>
      <c r="F22" s="36"/>
      <c r="G22" s="36"/>
      <c r="H22" s="36"/>
      <c r="N22" s="12"/>
      <c r="O22" s="11" t="s">
        <v>61</v>
      </c>
    </row>
    <row r="23" customFormat="false" ht="15" hidden="false" customHeight="false" outlineLevel="0" collapsed="false">
      <c r="B23" s="37" t="str">
        <f aca="false">IF($B$9="Travel Expense Reimbursement form","Name of Reporting Manager",IF($B$9="Relocation Expense Reimbursement form","Name of Reporting Manager",IF($B$9="Joining Expense Reimbursement form","Name of Reporting Manager",0)))</f>
        <v>Name of Reporting Manager</v>
      </c>
      <c r="C23" s="37"/>
      <c r="D23" s="37"/>
      <c r="E23" s="33"/>
      <c r="F23" s="33"/>
      <c r="G23" s="33"/>
      <c r="H23" s="33"/>
      <c r="N23" s="12" t="s">
        <v>35</v>
      </c>
      <c r="O23" s="38" t="s">
        <v>17</v>
      </c>
    </row>
    <row r="24" customFormat="false" ht="15" hidden="false" customHeight="false" outlineLevel="0" collapsed="false">
      <c r="B24" s="37" t="str">
        <f aca="false">IF($B$9="Travel Expense Reimbursement form","Name of HOD",IF($B$9="Relocation Expense Reimbursement form","Name of HOD",IF($B$9="Joining Expense Reimbursement form","Name of HOD",0)))</f>
        <v>Name of HOD</v>
      </c>
      <c r="C24" s="37"/>
      <c r="D24" s="39"/>
      <c r="E24" s="40"/>
      <c r="F24" s="40"/>
      <c r="G24" s="40"/>
      <c r="H24" s="40"/>
      <c r="N24" s="12" t="s">
        <v>62</v>
      </c>
      <c r="O24" s="38" t="s">
        <v>63</v>
      </c>
    </row>
    <row r="25" customFormat="false" ht="15" hidden="false" customHeight="false" outlineLevel="0" collapsed="false">
      <c r="B25" s="37" t="str">
        <f aca="false">IF($B$9="Travel Expense Reimbursement form","0",IF($B$9="Relocation Expense Reimbursement form","Name of HR Head",IF($B$9="Joining Expense Reimbursement form","Name of HR Head",0)))</f>
        <v>0</v>
      </c>
      <c r="C25" s="37"/>
      <c r="D25" s="39"/>
      <c r="E25" s="41"/>
      <c r="F25" s="41"/>
      <c r="G25" s="41"/>
      <c r="H25" s="42"/>
      <c r="N25" s="12" t="s">
        <v>64</v>
      </c>
      <c r="O25" s="43" t="s">
        <v>65</v>
      </c>
    </row>
    <row r="26" customFormat="false" ht="39" hidden="false" customHeight="false" outlineLevel="0" collapsed="false">
      <c r="B26" s="44" t="s">
        <v>66</v>
      </c>
      <c r="C26" s="45" t="s">
        <v>67</v>
      </c>
      <c r="D26" s="45"/>
      <c r="E26" s="45" t="s">
        <v>68</v>
      </c>
      <c r="F26" s="45" t="s">
        <v>69</v>
      </c>
      <c r="G26" s="46" t="s">
        <v>70</v>
      </c>
      <c r="H26" s="47" t="s">
        <v>71</v>
      </c>
      <c r="I26" s="47" t="s">
        <v>72</v>
      </c>
      <c r="N26" s="12" t="s">
        <v>73</v>
      </c>
      <c r="O26" s="2" t="s">
        <v>74</v>
      </c>
    </row>
    <row r="27" customFormat="false" ht="15" hidden="false" customHeight="false" outlineLevel="0" collapsed="false">
      <c r="B27" s="48" t="s">
        <v>75</v>
      </c>
      <c r="C27" s="49" t="s">
        <v>76</v>
      </c>
      <c r="D27" s="50"/>
      <c r="E27" s="51"/>
      <c r="F27" s="51"/>
      <c r="G27" s="52"/>
      <c r="H27" s="53"/>
      <c r="I27" s="53"/>
      <c r="N27" s="12" t="s">
        <v>77</v>
      </c>
    </row>
    <row r="28" customFormat="false" ht="15" hidden="false" customHeight="false" outlineLevel="0" collapsed="false">
      <c r="B28" s="48"/>
      <c r="C28" s="54" t="s">
        <v>78</v>
      </c>
      <c r="D28" s="55"/>
      <c r="E28" s="56"/>
      <c r="F28" s="56"/>
      <c r="G28" s="52"/>
      <c r="H28" s="53" t="n">
        <v>895</v>
      </c>
      <c r="I28" s="53"/>
      <c r="N28" s="12" t="s">
        <v>79</v>
      </c>
    </row>
    <row r="29" customFormat="false" ht="15" hidden="false" customHeight="false" outlineLevel="0" collapsed="false">
      <c r="B29" s="48"/>
      <c r="C29" s="54" t="s">
        <v>80</v>
      </c>
      <c r="D29" s="55"/>
      <c r="E29" s="56"/>
      <c r="F29" s="56"/>
      <c r="G29" s="52"/>
      <c r="H29" s="53"/>
      <c r="I29" s="53"/>
      <c r="N29" s="12" t="s">
        <v>81</v>
      </c>
    </row>
    <row r="30" customFormat="false" ht="30.75" hidden="false" customHeight="true" outlineLevel="0" collapsed="false">
      <c r="B30" s="48"/>
      <c r="C30" s="57" t="s">
        <v>82</v>
      </c>
      <c r="D30" s="57"/>
      <c r="E30" s="51"/>
      <c r="F30" s="51"/>
      <c r="G30" s="52"/>
      <c r="H30" s="53"/>
      <c r="I30" s="53"/>
      <c r="N30" s="12" t="s">
        <v>83</v>
      </c>
    </row>
    <row r="31" customFormat="false" ht="15" hidden="false" customHeight="false" outlineLevel="0" collapsed="false">
      <c r="B31" s="48"/>
      <c r="C31" s="58"/>
      <c r="D31" s="58"/>
      <c r="E31" s="59"/>
      <c r="F31" s="59"/>
      <c r="G31" s="52"/>
      <c r="H31" s="53"/>
      <c r="I31" s="53"/>
      <c r="N31" s="12" t="s">
        <v>84</v>
      </c>
    </row>
    <row r="32" customFormat="false" ht="12.75" hidden="false" customHeight="false" outlineLevel="0" collapsed="false">
      <c r="B32" s="48" t="s">
        <v>85</v>
      </c>
      <c r="C32" s="49" t="s">
        <v>86</v>
      </c>
      <c r="D32" s="50"/>
      <c r="E32" s="60"/>
      <c r="F32" s="37"/>
      <c r="G32" s="61"/>
      <c r="H32" s="53"/>
      <c r="I32" s="53"/>
    </row>
    <row r="33" customFormat="false" ht="12.75" hidden="false" customHeight="false" outlineLevel="0" collapsed="false">
      <c r="B33" s="48"/>
      <c r="C33" s="54" t="s">
        <v>87</v>
      </c>
      <c r="D33" s="55"/>
      <c r="E33" s="62" t="s">
        <v>9</v>
      </c>
      <c r="F33" s="37" t="str">
        <f aca="false">IF($C$13&lt;"MG4","MG1-MG3",IF($C$13&lt;"MG7","MG4-MG6",IF($C$13&gt;"MG6","MG7-MG9",0)))</f>
        <v>MG1-MG3</v>
      </c>
      <c r="G33" s="61" t="str">
        <f aca="true">OFFSET('Travel Reimbursement Form'!$N$5,MATCH(E33,'Travel Reimbursement Form'!$N$6:$N$18,0),MATCH(F33,'Travel Reimbursement Form'!$O$5:$Q$5,0))</f>
        <v>On Actual</v>
      </c>
      <c r="H33" s="53"/>
      <c r="I33" s="53"/>
    </row>
    <row r="34" customFormat="false" ht="12.75" hidden="false" customHeight="false" outlineLevel="0" collapsed="false">
      <c r="B34" s="48"/>
      <c r="C34" s="54" t="s">
        <v>88</v>
      </c>
      <c r="D34" s="55"/>
      <c r="E34" s="62" t="s">
        <v>13</v>
      </c>
      <c r="F34" s="37" t="str">
        <f aca="false">IF($C$13&lt;"MG4","MG1-MG3",IF($C$13&lt;"MG7","MG4-MG6",IF($C$13&gt;"MG6","MG7-MG9",0)))</f>
        <v>MG1-MG3</v>
      </c>
      <c r="G34" s="61" t="n">
        <f aca="true">OFFSET('Travel Reimbursement Form'!$N$5,MATCH(E34,'Travel Reimbursement Form'!$N$6:$N$18,0),MATCH(F34,'Travel Reimbursement Form'!$O$5:$Q$5,0))</f>
        <v>0</v>
      </c>
      <c r="H34" s="53"/>
      <c r="I34" s="53"/>
    </row>
    <row r="35" customFormat="false" ht="12.75" hidden="false" customHeight="false" outlineLevel="0" collapsed="false">
      <c r="B35" s="48"/>
      <c r="C35" s="49" t="s">
        <v>89</v>
      </c>
      <c r="D35" s="50"/>
      <c r="E35" s="62"/>
      <c r="F35" s="37"/>
      <c r="G35" s="61"/>
      <c r="H35" s="53"/>
      <c r="I35" s="53"/>
    </row>
    <row r="36" customFormat="false" ht="12.75" hidden="false" customHeight="false" outlineLevel="0" collapsed="false">
      <c r="B36" s="48"/>
      <c r="C36" s="58"/>
      <c r="D36" s="58"/>
      <c r="E36" s="63"/>
      <c r="F36" s="63"/>
      <c r="G36" s="61"/>
      <c r="H36" s="53"/>
      <c r="I36" s="53"/>
    </row>
    <row r="37" customFormat="false" ht="12.75" hidden="false" customHeight="false" outlineLevel="0" collapsed="false">
      <c r="B37" s="48" t="s">
        <v>90</v>
      </c>
      <c r="C37" s="49" t="s">
        <v>91</v>
      </c>
      <c r="D37" s="50"/>
      <c r="E37" s="31" t="s">
        <v>42</v>
      </c>
      <c r="F37" s="37" t="str">
        <f aca="false">IF($C$13&lt;"MG4","MG1-MG3",IF($C$13&lt;"MG7","MG4-MG6",IF($C$13&gt;"MG6","MG7-MG9",0)))</f>
        <v>MG1-MG3</v>
      </c>
      <c r="G37" s="61" t="n">
        <f aca="true">OFFSET('Travel Reimbursement Form'!$N$5,MATCH(E37,'Travel Reimbursement Form'!$N$6:$N$18,0),MATCH(F37,'Travel Reimbursement Form'!$O$5:$Q$5,0))</f>
        <v>2000</v>
      </c>
      <c r="H37" s="53"/>
      <c r="I37" s="53"/>
    </row>
    <row r="38" customFormat="false" ht="12.75" hidden="false" customHeight="false" outlineLevel="0" collapsed="false">
      <c r="B38" s="48"/>
      <c r="C38" s="64" t="s">
        <v>92</v>
      </c>
      <c r="D38" s="65"/>
      <c r="E38" s="31" t="s">
        <v>45</v>
      </c>
      <c r="F38" s="37" t="str">
        <f aca="false">IF($C$13&lt;"MG4","MG1-MG3",IF($C$13&lt;"MG7","MG4-MG6",IF($C$13&gt;"MG6","MG7-MG9",0)))</f>
        <v>MG1-MG3</v>
      </c>
      <c r="G38" s="61" t="n">
        <f aca="true">OFFSET('Travel Reimbursement Form'!$N$5,MATCH(E38,'Travel Reimbursement Form'!$N$6:$N$18,0),MATCH(F38,'Travel Reimbursement Form'!$O$5:$Q$5,0))</f>
        <v>1500</v>
      </c>
      <c r="H38" s="53"/>
      <c r="I38" s="53"/>
    </row>
    <row r="39" customFormat="false" ht="12.75" hidden="false" customHeight="false" outlineLevel="0" collapsed="false">
      <c r="B39" s="48"/>
      <c r="C39" s="64" t="s">
        <v>93</v>
      </c>
      <c r="D39" s="65"/>
      <c r="E39" s="31" t="s">
        <v>50</v>
      </c>
      <c r="F39" s="37" t="str">
        <f aca="false">IF($C$13&lt;"MG4","MG1-MG3",IF($C$13&lt;"MG7","MG4-MG6",IF($C$13&gt;"MG6","MG7-MG9",0)))</f>
        <v>MG1-MG3</v>
      </c>
      <c r="G39" s="61" t="n">
        <f aca="true">OFFSET('Travel Reimbursement Form'!$N$5,MATCH(E39,'Travel Reimbursement Form'!$N$6:$N$18,0),MATCH(F39,'Travel Reimbursement Form'!$O$5:$Q$5,0))</f>
        <v>1000</v>
      </c>
      <c r="H39" s="53"/>
      <c r="I39" s="53"/>
    </row>
    <row r="40" customFormat="false" ht="12.75" hidden="false" customHeight="false" outlineLevel="0" collapsed="false">
      <c r="B40" s="48"/>
      <c r="C40" s="49" t="s">
        <v>89</v>
      </c>
      <c r="D40" s="50"/>
      <c r="E40" s="66"/>
      <c r="F40" s="37"/>
      <c r="G40" s="61"/>
      <c r="H40" s="53"/>
      <c r="I40" s="53"/>
    </row>
    <row r="41" customFormat="false" ht="12.75" hidden="false" customHeight="false" outlineLevel="0" collapsed="false">
      <c r="B41" s="48"/>
      <c r="C41" s="58"/>
      <c r="D41" s="58"/>
      <c r="E41" s="63"/>
      <c r="F41" s="63"/>
      <c r="G41" s="61"/>
      <c r="H41" s="53"/>
      <c r="I41" s="53"/>
    </row>
    <row r="42" customFormat="false" ht="12.75" hidden="false" customHeight="false" outlineLevel="0" collapsed="false">
      <c r="B42" s="48" t="s">
        <v>94</v>
      </c>
      <c r="C42" s="67" t="s">
        <v>95</v>
      </c>
      <c r="D42" s="68"/>
      <c r="E42" s="31" t="s">
        <v>54</v>
      </c>
      <c r="F42" s="37" t="str">
        <f aca="false">IF($C$13&lt;"MG4","MG1-MG3",IF($C$13&lt;"MG7","MG4-MG6",IF($C$13&gt;"MG6","MG7-MG9",0)))</f>
        <v>MG1-MG3</v>
      </c>
      <c r="G42" s="61" t="n">
        <f aca="true">OFFSET('Travel Reimbursement Form'!$N$5,MATCH(E42,'Travel Reimbursement Form'!$N$6:$N$18,0),MATCH(F42,'Travel Reimbursement Form'!$O$5:$Q$5,0))</f>
        <v>750</v>
      </c>
      <c r="H42" s="53"/>
      <c r="I42" s="53"/>
    </row>
    <row r="43" customFormat="false" ht="12.75" hidden="false" customHeight="false" outlineLevel="0" collapsed="false">
      <c r="B43" s="48"/>
      <c r="C43" s="49" t="s">
        <v>96</v>
      </c>
      <c r="D43" s="50"/>
      <c r="E43" s="31" t="s">
        <v>57</v>
      </c>
      <c r="F43" s="37" t="str">
        <f aca="false">IF($C$13&lt;"MG4","MG1-MG3",IF($C$13&lt;"MG7","MG4-MG6",IF($C$13&gt;"MG6","MG7-MG9",0)))</f>
        <v>MG1-MG3</v>
      </c>
      <c r="G43" s="61"/>
      <c r="H43" s="53"/>
      <c r="I43" s="53"/>
    </row>
    <row r="44" customFormat="false" ht="12.75" hidden="false" customHeight="false" outlineLevel="0" collapsed="false">
      <c r="B44" s="48"/>
      <c r="C44" s="69"/>
      <c r="D44" s="68"/>
      <c r="E44" s="63"/>
      <c r="F44" s="63"/>
      <c r="G44" s="61"/>
      <c r="H44" s="53"/>
      <c r="I44" s="53"/>
    </row>
    <row r="45" customFormat="false" ht="12.75" hidden="false" customHeight="false" outlineLevel="0" collapsed="false">
      <c r="B45" s="48" t="s">
        <v>97</v>
      </c>
      <c r="C45" s="49" t="s">
        <v>98</v>
      </c>
      <c r="D45" s="50"/>
      <c r="E45" s="15" t="s">
        <v>16</v>
      </c>
      <c r="F45" s="37" t="str">
        <f aca="false">IF($C$13&lt;"MG4","MG1-MG3",IF($C$13&lt;"MG7","MG4-MG6",IF($C$13&gt;"MG6","MG7-MG9",0)))</f>
        <v>MG1-MG3</v>
      </c>
      <c r="G45" s="61" t="n">
        <f aca="true">OFFSET('Travel Reimbursement Form'!$N$5,MATCH(E45,'Travel Reimbursement Form'!$N$6:$N$18,0),MATCH(F45,'Travel Reimbursement Form'!$O$5:$Q$5,0))</f>
        <v>1000</v>
      </c>
      <c r="H45" s="53"/>
      <c r="I45" s="53"/>
    </row>
    <row r="46" customFormat="false" ht="12.75" hidden="false" customHeight="false" outlineLevel="0" collapsed="false">
      <c r="B46" s="70"/>
      <c r="C46" s="49" t="s">
        <v>89</v>
      </c>
      <c r="D46" s="50"/>
      <c r="E46" s="15" t="s">
        <v>23</v>
      </c>
      <c r="F46" s="37" t="str">
        <f aca="false">IF($C$13&lt;"MG4","MG1-MG3",IF($C$13&lt;"MG7","MG4-MG6",IF($C$13&gt;"MG6","MG7-MG9",0)))</f>
        <v>MG1-MG3</v>
      </c>
      <c r="G46" s="61" t="n">
        <f aca="true">OFFSET('Travel Reimbursement Form'!$N$5,MATCH(E46,'Travel Reimbursement Form'!$N$6:$N$18,0),MATCH(F46,'Travel Reimbursement Form'!$O$5:$Q$5,0))</f>
        <v>750</v>
      </c>
      <c r="H46" s="53"/>
      <c r="I46" s="53"/>
    </row>
    <row r="47" customFormat="false" ht="12.75" hidden="false" customHeight="false" outlineLevel="0" collapsed="false">
      <c r="B47" s="70"/>
      <c r="C47" s="71"/>
      <c r="D47" s="72"/>
      <c r="E47" s="15" t="s">
        <v>33</v>
      </c>
      <c r="F47" s="37" t="str">
        <f aca="false">IF($C$13&lt;"MG4","MG1-MG3",IF($C$13&lt;"MG7","MG4-MG6",IF($C$13&gt;"MG6","MG7-MG9",0)))</f>
        <v>MG1-MG3</v>
      </c>
      <c r="G47" s="61" t="n">
        <f aca="true">OFFSET('Travel Reimbursement Form'!$N$5,MATCH(E47,'Travel Reimbursement Form'!$N$6:$N$18,0),MATCH(F47,'Travel Reimbursement Form'!$O$5:$Q$5,0))</f>
        <v>750</v>
      </c>
      <c r="H47" s="73"/>
      <c r="I47" s="73"/>
    </row>
    <row r="48" customFormat="false" ht="12.75" hidden="false" customHeight="false" outlineLevel="0" collapsed="false">
      <c r="B48" s="70"/>
      <c r="C48" s="74"/>
      <c r="D48" s="55"/>
      <c r="E48" s="15" t="s">
        <v>20</v>
      </c>
      <c r="F48" s="37" t="str">
        <f aca="false">IF($C$13&lt;"MG4","MG1-MG3",IF($C$13&lt;"MG7","MG4-MG6",IF($C$13&gt;"MG6","MG7-MG9",0)))</f>
        <v>MG1-MG3</v>
      </c>
      <c r="G48" s="61"/>
      <c r="H48" s="73"/>
      <c r="I48" s="73"/>
    </row>
    <row r="49" customFormat="false" ht="12.75" hidden="false" customHeight="false" outlineLevel="0" collapsed="false">
      <c r="B49" s="70"/>
      <c r="C49" s="74"/>
      <c r="D49" s="55"/>
      <c r="E49" s="15" t="s">
        <v>28</v>
      </c>
      <c r="F49" s="37" t="str">
        <f aca="false">IF($C$13&lt;"MG4","MG1-MG3",IF($C$13&lt;"MG7","MG4-MG6",IF($C$13&gt;"MG6","MG7-MG9",0)))</f>
        <v>MG1-MG3</v>
      </c>
      <c r="G49" s="61"/>
      <c r="H49" s="73"/>
      <c r="I49" s="73"/>
    </row>
    <row r="50" customFormat="false" ht="12.75" hidden="false" customHeight="false" outlineLevel="0" collapsed="false">
      <c r="B50" s="70"/>
      <c r="C50" s="74"/>
      <c r="D50" s="55"/>
      <c r="E50" s="15" t="s">
        <v>38</v>
      </c>
      <c r="F50" s="37" t="str">
        <f aca="false">IF($C$13&lt;"MG4","MG1-MG3",IF($C$13&lt;"MG7","MG4-MG6",IF($C$13&gt;"MG6","MG7-MG9",0)))</f>
        <v>MG1-MG3</v>
      </c>
      <c r="G50" s="61"/>
      <c r="H50" s="73"/>
      <c r="I50" s="73"/>
    </row>
    <row r="51" customFormat="false" ht="12.75" hidden="false" customHeight="false" outlineLevel="0" collapsed="false">
      <c r="B51" s="48" t="s">
        <v>99</v>
      </c>
      <c r="C51" s="49" t="s">
        <v>100</v>
      </c>
      <c r="D51" s="50"/>
      <c r="E51" s="51"/>
      <c r="F51" s="51"/>
      <c r="G51" s="75"/>
      <c r="H51" s="73"/>
      <c r="I51" s="73"/>
    </row>
    <row r="52" customFormat="false" ht="12.75" hidden="false" customHeight="false" outlineLevel="0" collapsed="false">
      <c r="B52" s="70"/>
      <c r="C52" s="49" t="s">
        <v>89</v>
      </c>
      <c r="D52" s="50"/>
      <c r="E52" s="51"/>
      <c r="F52" s="51"/>
      <c r="G52" s="75"/>
      <c r="H52" s="73"/>
      <c r="I52" s="73"/>
    </row>
    <row r="53" customFormat="false" ht="12.75" hidden="false" customHeight="false" outlineLevel="0" collapsed="false">
      <c r="B53" s="70"/>
      <c r="C53" s="76"/>
      <c r="D53" s="77"/>
      <c r="E53" s="51"/>
      <c r="F53" s="51"/>
      <c r="G53" s="75"/>
      <c r="H53" s="73"/>
      <c r="I53" s="73"/>
    </row>
    <row r="54" customFormat="false" ht="12.75" hidden="false" customHeight="false" outlineLevel="0" collapsed="false">
      <c r="B54" s="70"/>
      <c r="C54" s="78" t="s">
        <v>101</v>
      </c>
      <c r="D54" s="78"/>
      <c r="E54" s="79"/>
      <c r="F54" s="79"/>
      <c r="G54" s="80"/>
      <c r="H54" s="81" t="n">
        <f aca="false">SUM(H27:H53)</f>
        <v>895</v>
      </c>
      <c r="I54" s="82" t="n">
        <f aca="false">SUM(I27:I53)</f>
        <v>0</v>
      </c>
    </row>
    <row r="55" customFormat="false" ht="12.75" hidden="false" customHeight="false" outlineLevel="0" collapsed="false">
      <c r="B55" s="83" t="s">
        <v>102</v>
      </c>
      <c r="C55" s="84"/>
      <c r="D55" s="84"/>
      <c r="E55" s="85"/>
      <c r="F55" s="85"/>
      <c r="G55" s="80"/>
      <c r="H55" s="82"/>
      <c r="I55" s="82"/>
    </row>
    <row r="56" customFormat="false" ht="12.75" hidden="false" customHeight="false" outlineLevel="0" collapsed="false">
      <c r="B56" s="86" t="s">
        <v>103</v>
      </c>
      <c r="C56" s="87" t="s">
        <v>104</v>
      </c>
      <c r="D56" s="88"/>
      <c r="E56" s="89"/>
      <c r="F56" s="89"/>
      <c r="G56" s="90"/>
      <c r="H56" s="91"/>
      <c r="I56" s="91"/>
    </row>
    <row r="57" customFormat="false" ht="12.75" hidden="false" customHeight="false" outlineLevel="0" collapsed="false">
      <c r="B57" s="86" t="s">
        <v>105</v>
      </c>
      <c r="C57" s="87" t="s">
        <v>106</v>
      </c>
      <c r="D57" s="88"/>
      <c r="E57" s="89"/>
      <c r="F57" s="89"/>
      <c r="G57" s="90"/>
      <c r="H57" s="91"/>
      <c r="I57" s="91"/>
    </row>
    <row r="58" customFormat="false" ht="12.75" hidden="false" customHeight="false" outlineLevel="0" collapsed="false">
      <c r="B58" s="86"/>
      <c r="C58" s="67" t="s">
        <v>107</v>
      </c>
      <c r="D58" s="92"/>
      <c r="E58" s="93"/>
      <c r="F58" s="93"/>
      <c r="G58" s="90"/>
      <c r="H58" s="91"/>
      <c r="I58" s="91"/>
    </row>
    <row r="59" customFormat="false" ht="12.75" hidden="false" customHeight="false" outlineLevel="0" collapsed="false">
      <c r="B59" s="86"/>
      <c r="C59" s="78" t="s">
        <v>108</v>
      </c>
      <c r="D59" s="78"/>
      <c r="E59" s="79"/>
      <c r="F59" s="79"/>
      <c r="G59" s="90"/>
      <c r="H59" s="94" t="n">
        <f aca="false">SUM(H56:H57)</f>
        <v>0</v>
      </c>
      <c r="I59" s="91" t="n">
        <f aca="false">SUM(I56:I57)</f>
        <v>0</v>
      </c>
    </row>
    <row r="60" customFormat="false" ht="12.75" hidden="false" customHeight="false" outlineLevel="0" collapsed="false">
      <c r="B60" s="95"/>
      <c r="C60" s="96"/>
      <c r="D60" s="96"/>
      <c r="E60" s="97"/>
      <c r="F60" s="97"/>
      <c r="G60" s="90"/>
      <c r="H60" s="91"/>
      <c r="I60" s="91"/>
    </row>
    <row r="61" customFormat="false" ht="12.75" hidden="false" customHeight="false" outlineLevel="0" collapsed="false">
      <c r="B61" s="98" t="s">
        <v>109</v>
      </c>
      <c r="C61" s="98"/>
      <c r="D61" s="98"/>
      <c r="E61" s="99"/>
      <c r="F61" s="99"/>
      <c r="G61" s="100"/>
      <c r="H61" s="101" t="n">
        <f aca="false">H54-H59</f>
        <v>895</v>
      </c>
      <c r="I61" s="102" t="n">
        <f aca="false">I54-I59</f>
        <v>0</v>
      </c>
    </row>
    <row r="62" customFormat="false" ht="12.75" hidden="false" customHeight="false" outlineLevel="0" collapsed="false">
      <c r="B62" s="103"/>
      <c r="C62" s="104"/>
      <c r="D62" s="104"/>
      <c r="E62" s="104"/>
      <c r="F62" s="104"/>
      <c r="G62" s="104"/>
      <c r="H62" s="10"/>
    </row>
    <row r="63" customFormat="false" ht="12.75" hidden="false" customHeight="false" outlineLevel="0" collapsed="false">
      <c r="B63" s="103" t="s">
        <v>110</v>
      </c>
      <c r="C63" s="104"/>
      <c r="D63" s="104"/>
      <c r="E63" s="104"/>
      <c r="F63" s="104"/>
      <c r="G63" s="104"/>
      <c r="H63" s="10"/>
    </row>
    <row r="64" customFormat="false" ht="27" hidden="false" customHeight="true" outlineLevel="0" collapsed="false">
      <c r="B64" s="105" t="s">
        <v>111</v>
      </c>
      <c r="C64" s="105"/>
      <c r="D64" s="105"/>
      <c r="E64" s="105"/>
      <c r="F64" s="105"/>
      <c r="G64" s="105"/>
      <c r="H64" s="105"/>
    </row>
    <row r="65" customFormat="false" ht="12.75" hidden="false" customHeight="false" outlineLevel="0" collapsed="false">
      <c r="B65" s="106" t="s">
        <v>112</v>
      </c>
      <c r="C65" s="1"/>
      <c r="D65" s="1"/>
      <c r="E65" s="1"/>
      <c r="F65" s="1"/>
      <c r="G65" s="1"/>
      <c r="H65" s="107"/>
    </row>
    <row r="66" customFormat="false" ht="12.75" hidden="false" customHeight="false" outlineLevel="0" collapsed="false">
      <c r="B66" s="108"/>
      <c r="C66" s="1"/>
      <c r="D66" s="1"/>
      <c r="E66" s="1"/>
      <c r="F66" s="1"/>
      <c r="G66" s="1"/>
      <c r="H66" s="10"/>
    </row>
    <row r="67" customFormat="false" ht="12.75" hidden="false" customHeight="false" outlineLevel="0" collapsed="false">
      <c r="B67" s="109" t="s">
        <v>113</v>
      </c>
      <c r="C67" s="1"/>
      <c r="D67" s="1"/>
      <c r="E67" s="1"/>
      <c r="F67" s="1"/>
      <c r="G67" s="1"/>
      <c r="H67" s="107" t="s">
        <v>114</v>
      </c>
    </row>
    <row r="68" customFormat="false" ht="12.75" hidden="false" customHeight="false" outlineLevel="0" collapsed="false">
      <c r="B68" s="108"/>
      <c r="C68" s="1"/>
      <c r="D68" s="1"/>
      <c r="E68" s="1"/>
      <c r="F68" s="1"/>
      <c r="G68" s="1"/>
      <c r="H68" s="107"/>
    </row>
    <row r="69" customFormat="false" ht="12.75" hidden="false" customHeight="false" outlineLevel="0" collapsed="false">
      <c r="B69" s="109" t="s">
        <v>115</v>
      </c>
      <c r="C69" s="1"/>
      <c r="D69" s="1"/>
      <c r="E69" s="1"/>
      <c r="F69" s="1"/>
      <c r="G69" s="1"/>
      <c r="H69" s="107" t="s">
        <v>114</v>
      </c>
    </row>
    <row r="70" customFormat="false" ht="12.75" hidden="false" customHeight="false" outlineLevel="0" collapsed="false">
      <c r="B70" s="108"/>
      <c r="C70" s="1"/>
      <c r="D70" s="1"/>
      <c r="E70" s="1"/>
      <c r="F70" s="1"/>
      <c r="G70" s="1"/>
      <c r="H70" s="107"/>
    </row>
    <row r="71" customFormat="false" ht="12.75" hidden="false" customHeight="false" outlineLevel="0" collapsed="false">
      <c r="B71" s="109" t="s">
        <v>116</v>
      </c>
      <c r="C71" s="1"/>
      <c r="D71" s="1"/>
      <c r="E71" s="1"/>
      <c r="F71" s="1"/>
      <c r="G71" s="1"/>
      <c r="H71" s="107" t="s">
        <v>114</v>
      </c>
    </row>
    <row r="72" customFormat="false" ht="12.75" hidden="false" customHeight="false" outlineLevel="0" collapsed="false">
      <c r="B72" s="108"/>
      <c r="C72" s="1"/>
      <c r="D72" s="1"/>
      <c r="E72" s="1"/>
      <c r="F72" s="1"/>
      <c r="G72" s="1"/>
      <c r="H72" s="107"/>
    </row>
    <row r="73" customFormat="false" ht="13.5" hidden="false" customHeight="false" outlineLevel="0" collapsed="false">
      <c r="B73" s="110" t="s">
        <v>117</v>
      </c>
      <c r="C73" s="111"/>
      <c r="D73" s="112"/>
      <c r="E73" s="112"/>
      <c r="F73" s="112"/>
      <c r="G73" s="112"/>
      <c r="H73" s="113"/>
    </row>
    <row r="74" customFormat="false" ht="13.5" hidden="false" customHeight="false" outlineLevel="0" collapsed="false"/>
    <row r="75" customFormat="false" ht="15" hidden="false" customHeight="true" outlineLevel="0" collapsed="false">
      <c r="B75" s="114" t="s">
        <v>118</v>
      </c>
      <c r="C75" s="114"/>
      <c r="D75" s="114"/>
      <c r="E75" s="114"/>
      <c r="F75" s="114"/>
      <c r="G75" s="114"/>
      <c r="H75" s="114"/>
    </row>
    <row r="76" customFormat="false" ht="15" hidden="false" customHeight="true" outlineLevel="0" collapsed="false">
      <c r="B76" s="115" t="s">
        <v>119</v>
      </c>
      <c r="C76" s="115"/>
      <c r="D76" s="115"/>
      <c r="E76" s="115"/>
      <c r="F76" s="115"/>
      <c r="G76" s="115"/>
      <c r="H76" s="115"/>
    </row>
    <row r="77" customFormat="false" ht="15.75" hidden="false" customHeight="true" outlineLevel="0" collapsed="false">
      <c r="B77" s="116" t="s">
        <v>120</v>
      </c>
      <c r="C77" s="116"/>
      <c r="D77" s="116"/>
      <c r="E77" s="116"/>
      <c r="F77" s="116"/>
      <c r="G77" s="116"/>
      <c r="H77" s="116"/>
    </row>
    <row r="78" customFormat="false" ht="15" hidden="false" customHeight="false" outlineLevel="0" collapsed="false"/>
  </sheetData>
  <sheetProtection sheet="true" objects="true" scenarios="true"/>
  <autoFilter ref="N5:Q18"/>
  <mergeCells count="36">
    <mergeCell ref="B6:H6"/>
    <mergeCell ref="B7:H7"/>
    <mergeCell ref="B9:H9"/>
    <mergeCell ref="C10:H10"/>
    <mergeCell ref="C11:H11"/>
    <mergeCell ref="C12:H12"/>
    <mergeCell ref="C13:H13"/>
    <mergeCell ref="C14:H14"/>
    <mergeCell ref="B15:H15"/>
    <mergeCell ref="C16:H16"/>
    <mergeCell ref="C17:H17"/>
    <mergeCell ref="C18:D18"/>
    <mergeCell ref="E18:H18"/>
    <mergeCell ref="C19:D19"/>
    <mergeCell ref="E19:H19"/>
    <mergeCell ref="C20:D20"/>
    <mergeCell ref="E20:H20"/>
    <mergeCell ref="C21:H21"/>
    <mergeCell ref="B22:H22"/>
    <mergeCell ref="B23:C23"/>
    <mergeCell ref="E23:H23"/>
    <mergeCell ref="B24:C24"/>
    <mergeCell ref="E24:H24"/>
    <mergeCell ref="B25:C25"/>
    <mergeCell ref="C26:D26"/>
    <mergeCell ref="C30:D30"/>
    <mergeCell ref="C31:D31"/>
    <mergeCell ref="C36:D36"/>
    <mergeCell ref="C41:D41"/>
    <mergeCell ref="C54:D54"/>
    <mergeCell ref="C59:D59"/>
    <mergeCell ref="B61:D61"/>
    <mergeCell ref="B64:H64"/>
    <mergeCell ref="B75:H75"/>
    <mergeCell ref="B76:H76"/>
    <mergeCell ref="B77:H77"/>
  </mergeCells>
  <dataValidations count="10">
    <dataValidation allowBlank="true" operator="between" showDropDown="false" showErrorMessage="true" showInputMessage="true" sqref="E32" type="list">
      <formula1>$N$6:$N$7</formula1>
      <formula2>0</formula2>
    </dataValidation>
    <dataValidation allowBlank="true" error="Select Grade" operator="between" prompt="Select Grade" promptTitle="Please select Garde from list" showDropDown="false" showErrorMessage="true" showInputMessage="true" sqref="C13" type="list">
      <formula1>$N$23:$N$31</formula1>
      <formula2>0</formula2>
    </dataValidation>
    <dataValidation allowBlank="true" operator="between" showDropDown="true" showErrorMessage="true" showInputMessage="true" sqref="E40" type="list">
      <formula1>$N$14:$N$15</formula1>
      <formula2>0</formula2>
    </dataValidation>
    <dataValidation allowBlank="true" operator="between" showDropDown="true" showErrorMessage="true" showInputMessage="true" sqref="E42:E43" type="list">
      <formula1>$N$17:$N$18</formula1>
      <formula2>0</formula2>
    </dataValidation>
    <dataValidation allowBlank="true" operator="between" showDropDown="true" showErrorMessage="true" showInputMessage="true" sqref="E39" type="list">
      <formula1>$N$14:$N$16</formula1>
      <formula2>0</formula2>
    </dataValidation>
    <dataValidation allowBlank="true" operator="between" showDropDown="true" showErrorMessage="true" showInputMessage="true" sqref="E45:E50" type="list">
      <formula1>$N$8:$N$13</formula1>
      <formula2>0</formula2>
    </dataValidation>
    <dataValidation allowBlank="true" error="Select Grade" operator="between" prompt="Claim Type" promptTitle="Please select Claim Type" showDropDown="false" showErrorMessage="true" showInputMessage="true" sqref="B9:H9" type="list">
      <formula1>$O$23:$O$26</formula1>
      <formula2>0</formula2>
    </dataValidation>
    <dataValidation allowBlank="false" operator="between" showDropDown="true" showErrorMessage="false" showInputMessage="false" sqref="C17:H17" type="list">
      <formula1>$K$6:$K$18</formula1>
      <formula2>0</formula2>
    </dataValidation>
    <dataValidation allowBlank="true" operator="between" showDropDown="true" showErrorMessage="false" showInputMessage="false" sqref="E38" type="list">
      <formula1>$N$14:$N$16</formula1>
      <formula2>0</formula2>
    </dataValidation>
    <dataValidation allowBlank="true" operator="between" showDropDown="true" showErrorMessage="true" showInputMessage="true" sqref="E37" type="list">
      <formula1>$N$14:$N$16</formula1>
      <formula2>0</formula2>
    </dataValidation>
  </dataValidations>
  <printOptions headings="false" gridLines="false" gridLinesSet="true" horizontalCentered="false" verticalCentered="false"/>
  <pageMargins left="0.75" right="0.75" top="0" bottom="0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LibreOffice/6.0.7.3$Linux_X86_64 LibreOffice_project/00m0$Build-3</Application>
  <Company>Spectranet Ltd.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2000-12-15T04:28:13Z</dcterms:created>
  <dc:creator>aditi.nehra</dc:creator>
  <dc:description>Form for taking Advance for Official Expenses</dc:description>
  <dc:language>en-IN</dc:language>
  <cp:lastModifiedBy/>
  <cp:lastPrinted>2012-11-06T13:38:26Z</cp:lastPrinted>
  <dcterms:modified xsi:type="dcterms:W3CDTF">2019-07-19T12:53:08Z</dcterms:modified>
  <cp:revision>1</cp:revision>
  <dc:subject/>
  <dc:title>Advance for Expenses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Spectranet Ltd.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